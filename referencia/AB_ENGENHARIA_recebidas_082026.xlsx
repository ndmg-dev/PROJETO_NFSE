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ção" sheetId="1" r:id="rId1"/>
    <sheet name="Resumo" sheetId="2" r:id="rId2"/>
  </sheets>
  <definedNames>
    <definedName name="_xlnm._FilterDatabase" localSheetId="0">'Relação'!$A$1:$BH$79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0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3.83203125" customWidth="1"/>
    <col min="3" max="3" width="11.83203125" customWidth="1"/>
    <col min="4" max="4" width="20.83203125" customWidth="1"/>
    <col min="5" max="5" width="42.83203125" customWidth="1"/>
    <col min="6" max="6" width="20.83203125" customWidth="1"/>
    <col min="7" max="7" width="42.83203125" customWidth="1"/>
    <col min="8" max="8" width="18.83203125" customWidth="1"/>
    <col min="9" max="9" width="16.83203125" customWidth="1"/>
    <col min="10" max="10" width="30.83203125" customWidth="1"/>
    <col min="11" max="11" width="8.83203125" customWidth="1"/>
    <col min="12" max="12" width="9.83203125" customWidth="1"/>
    <col min="13" max="13" width="16.83203125" customWidth="1"/>
    <col min="14" max="14" width="22.83203125" customWidth="1"/>
    <col min="15" max="15" width="20.83203125" customWidth="1"/>
    <col min="16" max="16" width="16.83203125" customWidth="1"/>
    <col min="17" max="17" width="16.83203125" customWidth="1"/>
    <col min="18" max="18" width="14.83203125" customWidth="1"/>
    <col min="19" max="19" width="15.83203125" customWidth="1"/>
    <col min="20" max="20" width="18.83203125" customWidth="1"/>
    <col min="21" max="21" width="44.83203125" customWidth="1"/>
    <col min="22" max="22" width="40.83203125" customWidth="1"/>
    <col min="23" max="23" width="44.83203125" customWidth="1"/>
    <col min="24" max="24" width="26.83203125" customWidth="1"/>
    <col min="25" max="25" width="44.83203125" customWidth="1"/>
    <col min="26" max="26" width="50.83203125" customWidth="1"/>
    <col min="27" max="27" width="16.83203125" customWidth="1"/>
    <col min="28" max="28" width="22.83203125" customWidth="1"/>
    <col min="29" max="29" width="14.83203125" customWidth="1"/>
    <col min="30" max="30" width="16.83203125" customWidth="1"/>
    <col min="31" max="31" width="16.83203125" customWidth="1"/>
    <col min="32" max="32" width="16.83203125" customWidth="1"/>
    <col min="33" max="33" width="18.83203125" customWidth="1"/>
    <col min="34" max="34" width="20.83203125" customWidth="1"/>
    <col min="35" max="35" width="22.83203125" customWidth="1"/>
    <col min="36" max="36" width="18.83203125" customWidth="1"/>
    <col min="37" max="37" width="18.83203125" customWidth="1"/>
    <col min="38" max="38" width="20.83203125" customWidth="1"/>
    <col min="39" max="39" width="22.83203125" customWidth="1"/>
    <col min="40" max="40" width="18.83203125" customWidth="1"/>
    <col min="41" max="41" width="16.83203125" customWidth="1"/>
    <col min="42" max="42" width="18.83203125" customWidth="1"/>
    <col min="43" max="43" width="16.83203125" customWidth="1"/>
    <col min="44" max="44" width="14.83203125" customWidth="1"/>
    <col min="45" max="45" width="14.83203125" customWidth="1"/>
    <col min="46" max="46" width="16.83203125" customWidth="1"/>
    <col min="47" max="47" width="16.83203125" customWidth="1"/>
    <col min="48" max="48" width="22.83203125" customWidth="1"/>
    <col min="49" max="49" width="12.83203125" customWidth="1"/>
    <col min="50" max="50" width="20.83203125" customWidth="1"/>
    <col min="51" max="51" width="20.83203125" customWidth="1"/>
    <col min="52" max="52" width="18.83203125" customWidth="1"/>
    <col min="53" max="53" width="18.83203125" customWidth="1"/>
    <col min="54" max="54" width="50.83203125" customWidth="1"/>
    <col min="55" max="55" width="42.83203125" customWidth="1"/>
    <col min="56" max="56" width="20.83203125" customWidth="1"/>
    <col min="57" max="57" width="24.83203125" customWidth="1"/>
    <col min="58" max="58" width="24.83203125" customWidth="1"/>
    <col min="59" max="59" width="12.83203125" customWidth="1"/>
    <col min="60" max="60" width="52.83203125" customWidth="1"/>
  </cols>
  <sheetData>
    <row r="1">
      <c r="A1" t="str">
        <v>Número NFS-e</v>
      </c>
      <c r="B1" t="str">
        <v>Data Geração</v>
      </c>
      <c r="C1" t="str">
        <v>Competência</v>
      </c>
      <c r="D1" t="str">
        <v>CNPJ/CPF Prestador</v>
      </c>
      <c r="E1" t="str">
        <v>Nome Prestador</v>
      </c>
      <c r="F1" t="str">
        <v>CNPJ/CPF Tomador</v>
      </c>
      <c r="G1" t="str">
        <v>Nome Tomador</v>
      </c>
      <c r="H1" t="str">
        <v>Valor do Serviço (R$)</v>
      </c>
      <c r="I1" t="str">
        <v>Insc. Municipal Emitente</v>
      </c>
      <c r="J1" t="str">
        <v>Simples Nacional</v>
      </c>
      <c r="K1" t="str">
        <v>DPS Nº</v>
      </c>
      <c r="L1" t="str">
        <v>DPS Série</v>
      </c>
      <c r="M1" t="str">
        <v>Situação NFS-e</v>
      </c>
      <c r="N1" t="str">
        <v>Tributação do ISSQN</v>
      </c>
      <c r="O1" t="str">
        <v>Município de Incidência</v>
      </c>
      <c r="P1" t="str">
        <v>Desconto Incond. (R$)</v>
      </c>
      <c r="Q1" t="str">
        <v>Base de Cálculo (R$)</v>
      </c>
      <c r="R1" t="str">
        <v>Alíquota ISSQN (%)</v>
      </c>
      <c r="S1" t="str">
        <v>Valor do ISSQN (R$)</v>
      </c>
      <c r="T1" t="str">
        <v>Retenção ISSQN</v>
      </c>
      <c r="U1" t="str">
        <v>Cód. Tributação Nacional</v>
      </c>
      <c r="V1" t="str">
        <v>Item da NBS</v>
      </c>
      <c r="W1" t="str">
        <v>Descrição do Serviço</v>
      </c>
      <c r="X1" t="str">
        <v>CST IBS/CBS</v>
      </c>
      <c r="Y1" t="str">
        <v>Class. Tributária IBS/CBS</v>
      </c>
      <c r="Z1" t="str">
        <v>Indicador da Operação</v>
      </c>
      <c r="AA1" t="str">
        <v>BC IBS/CBS (R$)</v>
      </c>
      <c r="AB1" t="str">
        <v>Reemb./Repasse/Ressarc. (R$)</v>
      </c>
      <c r="AC1" t="str">
        <v>Alíquota CBS (%)</v>
      </c>
      <c r="AD1" t="str">
        <v>Red. Alíquota CBS (%)</v>
      </c>
      <c r="AE1" t="str">
        <v>Alíq. Efetiva CBS (%)</v>
      </c>
      <c r="AF1" t="str">
        <v>Valor CBS Total (R$)</v>
      </c>
      <c r="AG1" t="str">
        <v>Alíquota IBS Estadual (%)</v>
      </c>
      <c r="AH1" t="str">
        <v>Red. Alíq. IBS Estadual (%)</v>
      </c>
      <c r="AI1" t="str">
        <v>Alíq. Efetiva IBS Estadual (%)</v>
      </c>
      <c r="AJ1" t="str">
        <v>Valor IBS Estadual (R$)</v>
      </c>
      <c r="AK1" t="str">
        <v>Alíquota IBS Municipal (%)</v>
      </c>
      <c r="AL1" t="str">
        <v>Red. Alíq. IBS Municipal (%)</v>
      </c>
      <c r="AM1" t="str">
        <v>Alíq. Efetiva IBS Municipal (%)</v>
      </c>
      <c r="AN1" t="str">
        <v>Valor IBS Municipal (R$)</v>
      </c>
      <c r="AO1" t="str">
        <v>Valor IBS Total (R$)</v>
      </c>
      <c r="AP1" t="str">
        <v>Sit. Trib. PIS/COFINS</v>
      </c>
      <c r="AQ1" t="str">
        <v>BC PIS/COFINS (R$)</v>
      </c>
      <c r="AR1" t="str">
        <v>PIS - Alíquota (%)</v>
      </c>
      <c r="AS1" t="str">
        <v>PIS - Débito (R$)</v>
      </c>
      <c r="AT1" t="str">
        <v>COFINS - Alíquota (%)</v>
      </c>
      <c r="AU1" t="str">
        <v>COFINS - Débito (R$)</v>
      </c>
      <c r="AV1" t="str">
        <v>Descr. Contrib. Sociais Ret.</v>
      </c>
      <c r="AW1" t="str">
        <v>IRRF (R$)</v>
      </c>
      <c r="AX1" t="str">
        <v>Contrib. Sociais Ret. (R$)</v>
      </c>
      <c r="AY1" t="str">
        <v>Contrib. Previd. Ret. (R$)</v>
      </c>
      <c r="AZ1" t="str">
        <v>% Total Tributos (SN)</v>
      </c>
      <c r="BA1" t="str">
        <v>Insc. Municipal Tomador</v>
      </c>
      <c r="BB1" t="str">
        <v>Informações Complementares</v>
      </c>
      <c r="BC1" t="str">
        <v>Evento</v>
      </c>
      <c r="BD1" t="str">
        <v>Autor do Evento</v>
      </c>
      <c r="BE1" t="str">
        <v>Data do Evento</v>
      </c>
      <c r="BF1" t="str">
        <v>Data Registro do Evento</v>
      </c>
      <c r="BG1" t="str">
        <v>Situação</v>
      </c>
      <c r="BH1" t="str">
        <v>Chave NFS-e</v>
      </c>
    </row>
    <row r="2">
      <c r="A2">
        <v>2600000010997</v>
      </c>
      <c r="B2" s="1">
        <v>46265</v>
      </c>
      <c r="C2" t="str">
        <v>08/2026</v>
      </c>
      <c r="D2" t="str">
        <v>14510103000106</v>
      </c>
      <c r="E2" t="str">
        <v>LEAO FERRAMENTAS LTDA.</v>
      </c>
      <c r="F2" t="str">
        <v>07.199.546/0001-62</v>
      </c>
      <c r="G2" t="str">
        <v>AB ENGENHARIA LTDA</v>
      </c>
      <c r="H2" s="2">
        <v>130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>Normal</v>
      </c>
      <c r="BH2" t="str">
        <v>26111011214510103000106260000001099726080031143398</v>
      </c>
    </row>
    <row r="3">
      <c r="A3">
        <v>2600000004484</v>
      </c>
      <c r="B3" s="1">
        <v>46265</v>
      </c>
      <c r="C3" t="str">
        <v>08/2026</v>
      </c>
      <c r="D3" t="str">
        <v>17714655000124</v>
      </c>
      <c r="E3" t="str">
        <v>RP COMÉRCIO DE PEÇAS E SERVIÇOS LTDA - ME</v>
      </c>
      <c r="F3" t="str">
        <v>07.199.546/0001-62</v>
      </c>
      <c r="G3" t="str">
        <v>AB ENGENHARIA LTDA</v>
      </c>
      <c r="H3" s="2">
        <v>200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>Normal</v>
      </c>
      <c r="BH3" t="str">
        <v>26111011217714655000124260000000448426080031139164</v>
      </c>
    </row>
    <row r="4">
      <c r="A4">
        <v>2600000000161</v>
      </c>
      <c r="B4" s="1">
        <v>46265</v>
      </c>
      <c r="C4" t="str">
        <v>08/2026</v>
      </c>
      <c r="D4" t="str">
        <v>45253560000196</v>
      </c>
      <c r="E4" t="str">
        <v>RAQUEL NUNES BARBOSA</v>
      </c>
      <c r="F4" t="str">
        <v>07.199.546/0001-62</v>
      </c>
      <c r="G4" t="str">
        <v>AB ENGENHARIA LTDA</v>
      </c>
      <c r="H4" s="2">
        <v>420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>Normal</v>
      </c>
      <c r="BH4" t="str">
        <v>26111011245253560000196260000000016126080030938757</v>
      </c>
    </row>
    <row r="5">
      <c r="A5">
        <v>2600000002769</v>
      </c>
      <c r="B5" s="1">
        <v>46262</v>
      </c>
      <c r="C5" t="str">
        <v>08/2026</v>
      </c>
      <c r="D5" t="str">
        <v>36359686000400</v>
      </c>
      <c r="E5" t="str">
        <v>LE MIX BRASIL PREPARACAO DE MASSA, ARGAMASSA E CONCRETO LTDA</v>
      </c>
      <c r="F5" t="str">
        <v>07.199.546/0001-62</v>
      </c>
      <c r="G5" t="str">
        <v>AB ENGENHARIA LTDA</v>
      </c>
      <c r="H5" s="2">
        <v>4240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>Normal</v>
      </c>
      <c r="BH5" t="str">
        <v>26111011236359686000400260000000276926080030805340</v>
      </c>
    </row>
    <row r="6">
      <c r="A6">
        <v>38</v>
      </c>
      <c r="B6" s="1">
        <v>46261</v>
      </c>
      <c r="C6" t="str">
        <v>08/2026</v>
      </c>
      <c r="D6" t="str">
        <v>57596775000199</v>
      </c>
      <c r="E6" t="str">
        <v>57.596.775 EDMILSON GONCALVES DOS SANTOS</v>
      </c>
      <c r="F6" t="str">
        <v>07.199.546/0001-62</v>
      </c>
      <c r="G6" t="str">
        <v>AB ENGENHARIA LTDA</v>
      </c>
      <c r="H6" s="2">
        <v>1150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>Normal</v>
      </c>
      <c r="BH6" t="str">
        <v>26111012257596775000199000000000003826081636181853</v>
      </c>
    </row>
    <row r="7">
      <c r="A7">
        <v>37</v>
      </c>
      <c r="B7" s="1">
        <v>46261</v>
      </c>
      <c r="C7" t="str">
        <v>08/2026</v>
      </c>
      <c r="D7" t="str">
        <v>57596775000199</v>
      </c>
      <c r="E7" t="str">
        <v>57.596.775 EDMILSON GONCALVES DOS SANTOS</v>
      </c>
      <c r="F7" t="str">
        <v>07.199.546/0001-62</v>
      </c>
      <c r="G7" t="str">
        <v>AB ENGENHARIA LTDA</v>
      </c>
      <c r="H7" s="2">
        <v>600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>Normal</v>
      </c>
      <c r="BH7" t="str">
        <v>26111012257596775000199000000000003726082180420308</v>
      </c>
    </row>
    <row r="8">
      <c r="A8">
        <v>2600000004955</v>
      </c>
      <c r="B8" s="1">
        <v>46260</v>
      </c>
      <c r="C8" t="str">
        <v>08/2026</v>
      </c>
      <c r="D8" t="str">
        <v>40205128000106</v>
      </c>
      <c r="E8" t="str">
        <v>J.R.R SERVIÇOS CONTÁBEIS LTDA</v>
      </c>
      <c r="F8" t="str">
        <v>07.199.546/0001-62</v>
      </c>
      <c r="G8" t="str">
        <v>AB ENGENHARIA LTDA</v>
      </c>
      <c r="H8" s="2">
        <v>6484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>Normal</v>
      </c>
      <c r="BH8" t="str">
        <v>26111011240205128000106260000000495526080030609457</v>
      </c>
    </row>
    <row r="9">
      <c r="A9">
        <v>2600000002756</v>
      </c>
      <c r="B9" s="1">
        <v>46259</v>
      </c>
      <c r="C9" t="str">
        <v>08/2026</v>
      </c>
      <c r="D9" t="str">
        <v>36359686000400</v>
      </c>
      <c r="E9" t="str">
        <v>LE MIX BRASIL PREPARACAO DE MASSA, ARGAMASSA E CONCRETO LTDA</v>
      </c>
      <c r="F9" t="str">
        <v>07.199.546/0001-62</v>
      </c>
      <c r="G9" t="str">
        <v>AB ENGENHARIA LTDA</v>
      </c>
      <c r="H9" s="2">
        <v>4240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>Normal</v>
      </c>
      <c r="BH9" t="str">
        <v>26111011236359686000400260000000275626080030491783</v>
      </c>
    </row>
    <row r="10">
      <c r="A10">
        <v>21</v>
      </c>
      <c r="B10" s="1">
        <v>46258</v>
      </c>
      <c r="C10" t="str">
        <v>08/2026</v>
      </c>
      <c r="D10" t="str">
        <v>28272091000133</v>
      </c>
      <c r="E10" t="str">
        <v>ALEXSANDRA TELES DE SOUZA 03990255452</v>
      </c>
      <c r="F10" t="str">
        <v>07.199.546/0001-62</v>
      </c>
      <c r="G10" t="str">
        <v>AB ENGENHARIA LTDA</v>
      </c>
      <c r="H10" s="2">
        <v>1749.6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>Normal</v>
      </c>
      <c r="BH10" t="str">
        <v>26111012228272091000133000000000002126082615314163</v>
      </c>
    </row>
    <row r="11">
      <c r="A11">
        <v>2600000000874</v>
      </c>
      <c r="B11" s="1">
        <v>46258</v>
      </c>
      <c r="C11" t="str">
        <v>08/2026</v>
      </c>
      <c r="D11" t="str">
        <v>62654285000131</v>
      </c>
      <c r="E11" t="str">
        <v>TF TRANSFORMOTORES SERVICOS E ASSISTENCIA LTDA</v>
      </c>
      <c r="F11" t="str">
        <v>07.199.546/0001-62</v>
      </c>
      <c r="G11" t="str">
        <v>AB ENGENHARIA LTDA</v>
      </c>
      <c r="H11" s="2">
        <v>627.17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>Normal</v>
      </c>
      <c r="BH11" t="str">
        <v>26111011262654285000131260000000087426080030238546</v>
      </c>
    </row>
    <row r="12">
      <c r="A12">
        <v>2600000000050</v>
      </c>
      <c r="B12" s="1">
        <v>46258</v>
      </c>
      <c r="C12" t="str">
        <v>08/2026</v>
      </c>
      <c r="D12" t="str">
        <v>82366497504</v>
      </c>
      <c r="E12" t="str">
        <v>REGIA PATRICIA MATOS PEIXOTO ANISIO</v>
      </c>
      <c r="F12" t="str">
        <v>07.199.546/0001-62</v>
      </c>
      <c r="G12" t="str">
        <v>AB ENGENHARIA LTDA</v>
      </c>
      <c r="H12" s="2">
        <v>2431.5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>Normal</v>
      </c>
      <c r="BH12" t="str">
        <v>26111011100082366497504260000000005026080030219754</v>
      </c>
    </row>
    <row r="13">
      <c r="A13">
        <v>73364</v>
      </c>
      <c r="B13" s="1">
        <v>46255</v>
      </c>
      <c r="C13" t="str">
        <v>08/2026</v>
      </c>
      <c r="D13" t="str">
        <v>25313698000126</v>
      </c>
      <c r="E13" t="str">
        <v>BRASILSAT GPS RASTREAMENTO VEICULAR LTDA</v>
      </c>
      <c r="F13" t="str">
        <v>07.199.546/0001-62</v>
      </c>
      <c r="G13" t="str">
        <v>AB ENGENHARIA LTDA</v>
      </c>
      <c r="H13" s="2">
        <v>245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>Normal</v>
      </c>
      <c r="BH13" t="str">
        <v>26045021225313698000126000000007336426080000029143</v>
      </c>
    </row>
    <row r="14">
      <c r="A14">
        <v>2600000002748</v>
      </c>
      <c r="B14" s="1">
        <v>46255</v>
      </c>
      <c r="C14" t="str">
        <v>08/2026</v>
      </c>
      <c r="D14" t="str">
        <v>36359686000400</v>
      </c>
      <c r="E14" t="str">
        <v>LE MIX BRASIL PREPARACAO DE MASSA, ARGAMASSA E CONCRETO LTDA</v>
      </c>
      <c r="F14" t="str">
        <v>07.199.546/0001-62</v>
      </c>
      <c r="G14" t="str">
        <v>AB ENGENHARIA LTDA</v>
      </c>
      <c r="H14" s="2">
        <v>4240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>Normal</v>
      </c>
      <c r="BH14" t="str">
        <v>26111011236359686000400260000000274826080029904284</v>
      </c>
    </row>
    <row r="15">
      <c r="A15">
        <v>12301896</v>
      </c>
      <c r="B15" s="1">
        <v>46254</v>
      </c>
      <c r="C15" t="str">
        <v>08/2026</v>
      </c>
      <c r="D15" t="str">
        <v>53420564001898</v>
      </c>
      <c r="E15" t="str">
        <v>CLIENT CO SERVICOS DE REDE NORDESTE S.A.</v>
      </c>
      <c r="F15" t="str">
        <v>07.199.546/0001-62</v>
      </c>
      <c r="G15" t="str">
        <v>AB ENGENHARIA LTDA</v>
      </c>
      <c r="H15" s="2">
        <v>10.75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>Normal</v>
      </c>
      <c r="BH15" t="str">
        <v>35503081253420564001898000001230189626086695622517</v>
      </c>
    </row>
    <row r="16">
      <c r="A16">
        <v>30736162</v>
      </c>
      <c r="B16" s="1">
        <v>46254</v>
      </c>
      <c r="C16" t="str">
        <v>08/2026</v>
      </c>
      <c r="D16" t="str">
        <v>39459331000634</v>
      </c>
      <c r="E16" t="str">
        <v>CAIXA CARTOES PRE-PAGOS S.A.</v>
      </c>
      <c r="F16" t="str">
        <v>07.199.546/0001-62</v>
      </c>
      <c r="G16" t="str">
        <v>AB ENGENHARIA LTDA</v>
      </c>
      <c r="H16" s="2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>Normal</v>
      </c>
      <c r="BH16" t="str">
        <v>35503081239459331000634000003073616226084128951211</v>
      </c>
    </row>
    <row r="17">
      <c r="A17">
        <v>2600000001746</v>
      </c>
      <c r="B17" s="1">
        <v>46254</v>
      </c>
      <c r="C17" t="str">
        <v>08/2026</v>
      </c>
      <c r="D17" t="str">
        <v>03634977000159</v>
      </c>
      <c r="E17" t="str">
        <v>JULIO CESAR DIAS BRAGA ME</v>
      </c>
      <c r="F17" t="str">
        <v>07.199.546/0001-62</v>
      </c>
      <c r="G17" t="str">
        <v>AB ENGENHARIA LTDA</v>
      </c>
      <c r="H17" s="2">
        <v>60000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>Normal</v>
      </c>
      <c r="BH17" t="str">
        <v>26111011203634977000159260000000174626080029729233</v>
      </c>
    </row>
    <row r="18">
      <c r="A18">
        <v>17</v>
      </c>
      <c r="B18" s="1">
        <v>46253</v>
      </c>
      <c r="C18" t="str">
        <v>08/2026</v>
      </c>
      <c r="D18" t="str">
        <v>57724533000133</v>
      </c>
      <c r="E18" t="str">
        <v>57.724.533 GERONCIO DE SOUZA ARAUJO</v>
      </c>
      <c r="F18" t="str">
        <v>07.199.546/0001-62</v>
      </c>
      <c r="G18" t="str">
        <v>AB ENGENHARIA LTDA</v>
      </c>
      <c r="H18" s="2">
        <v>1205.6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>Normal</v>
      </c>
      <c r="BH18" t="str">
        <v>29184072257724533000133000000000001726086054947837</v>
      </c>
    </row>
    <row r="19">
      <c r="A19">
        <v>2600000010956</v>
      </c>
      <c r="B19" s="1">
        <v>46252</v>
      </c>
      <c r="C19" t="str">
        <v>08/2026</v>
      </c>
      <c r="D19" t="str">
        <v>14510103000106</v>
      </c>
      <c r="E19" t="str">
        <v>LEAO FERRAMENTAS LTDA.</v>
      </c>
      <c r="F19" t="str">
        <v>07.199.546/0001-62</v>
      </c>
      <c r="G19" t="str">
        <v>AB ENGENHARIA LTDA</v>
      </c>
      <c r="H19" s="2">
        <v>60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>Normal</v>
      </c>
      <c r="BH19" t="str">
        <v>26111011214510103000106260000001095626080029372003</v>
      </c>
    </row>
    <row r="20">
      <c r="A20">
        <v>2600000000259</v>
      </c>
      <c r="B20" s="1">
        <v>46252</v>
      </c>
      <c r="C20" t="str">
        <v>08/2026</v>
      </c>
      <c r="D20" t="str">
        <v>24452283000170</v>
      </c>
      <c r="E20" t="str">
        <v>CASA DA PELICULA LTDA</v>
      </c>
      <c r="F20" t="str">
        <v>07.199.546/0001-62</v>
      </c>
      <c r="G20" t="str">
        <v>AB ENGENHARIA LTDA</v>
      </c>
      <c r="H20" s="2">
        <v>1462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>Normal</v>
      </c>
      <c r="BH20" t="str">
        <v>26111011224452283000170260000000025926080029327396</v>
      </c>
    </row>
    <row r="21">
      <c r="A21">
        <v>1257882</v>
      </c>
      <c r="B21" s="1">
        <v>46251</v>
      </c>
      <c r="C21" t="str">
        <v>08/2026</v>
      </c>
      <c r="D21" t="str">
        <v>62173620009306</v>
      </c>
      <c r="E21" t="str">
        <v>SERASA S.A.</v>
      </c>
      <c r="F21" t="str">
        <v>07.199.546/0001-62</v>
      </c>
      <c r="G21" t="str">
        <v>AB ENGENHARIA LTDA</v>
      </c>
      <c r="H21" s="2">
        <v>67.44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>Normal</v>
      </c>
      <c r="BH21" t="str">
        <v>35489062262173620009306000000125788226080362656554</v>
      </c>
    </row>
    <row r="22">
      <c r="A22">
        <v>2600000002409</v>
      </c>
      <c r="B22" s="1">
        <v>46248</v>
      </c>
      <c r="C22" t="str">
        <v>08/2026</v>
      </c>
      <c r="D22" t="str">
        <v>44617387000103</v>
      </c>
      <c r="E22" t="str">
        <v>MAIS VIVER CLINICA E MEDICINA DO TRABALHO LTDA</v>
      </c>
      <c r="F22" t="str">
        <v>07.199.546/0001-62</v>
      </c>
      <c r="G22" t="str">
        <v>AB ENGENHARIA LTDA</v>
      </c>
      <c r="H22" s="2">
        <v>2630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>Normal</v>
      </c>
      <c r="BH22" t="str">
        <v>26111011244617387000103260000000240926080029005689</v>
      </c>
    </row>
    <row r="23">
      <c r="A23">
        <v>30728883</v>
      </c>
      <c r="B23" s="1">
        <v>46248</v>
      </c>
      <c r="C23" t="str">
        <v>08/2026</v>
      </c>
      <c r="D23" t="str">
        <v>39459331000634</v>
      </c>
      <c r="E23" t="str">
        <v>CAIXA CARTOES PRE-PAGOS S.A.</v>
      </c>
      <c r="F23" t="str">
        <v>07.199.546/0001-62</v>
      </c>
      <c r="G23" t="str">
        <v>AB ENGENHARIA LTDA</v>
      </c>
      <c r="H23" s="2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>Normal</v>
      </c>
      <c r="BH23" t="str">
        <v>35503081239459331000634000003072888326081364738344</v>
      </c>
    </row>
    <row r="24">
      <c r="A24">
        <v>16</v>
      </c>
      <c r="B24" s="1">
        <v>46247</v>
      </c>
      <c r="C24" t="str">
        <v>08/2026</v>
      </c>
      <c r="D24" t="str">
        <v>57724533000133</v>
      </c>
      <c r="E24" t="str">
        <v>57.724.533 GERONCIO DE SOUZA ARAUJO</v>
      </c>
      <c r="F24" t="str">
        <v>07.199.546/0001-62</v>
      </c>
      <c r="G24" t="str">
        <v>AB ENGENHARIA LTDA</v>
      </c>
      <c r="H24" s="2">
        <v>1824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>Normal</v>
      </c>
      <c r="BH24" t="str">
        <v>29184072257724533000133000000000001626086344439768</v>
      </c>
    </row>
    <row r="25">
      <c r="A25">
        <v>30725619</v>
      </c>
      <c r="B25" s="1">
        <v>46247</v>
      </c>
      <c r="C25" t="str">
        <v>08/2026</v>
      </c>
      <c r="D25" t="str">
        <v>39459331000634</v>
      </c>
      <c r="E25" t="str">
        <v>CAIXA CARTOES PRE-PAGOS S.A.</v>
      </c>
      <c r="F25" t="str">
        <v>07.199.546/0001-62</v>
      </c>
      <c r="G25" t="str">
        <v>AB ENGENHARIA LTDA</v>
      </c>
      <c r="H25" s="2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>Normal</v>
      </c>
      <c r="BH25" t="str">
        <v>35503081239459331000634000003072561926085291701508</v>
      </c>
    </row>
    <row r="26">
      <c r="A26">
        <v>30725620</v>
      </c>
      <c r="B26" s="1">
        <v>46247</v>
      </c>
      <c r="C26" t="str">
        <v>08/2026</v>
      </c>
      <c r="D26" t="str">
        <v>39459331000634</v>
      </c>
      <c r="E26" t="str">
        <v>CAIXA CARTOES PRE-PAGOS S.A.</v>
      </c>
      <c r="F26" t="str">
        <v>07.199.546/0001-62</v>
      </c>
      <c r="G26" t="str">
        <v>AB ENGENHARIA LTDA</v>
      </c>
      <c r="H26" s="2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>Normal</v>
      </c>
      <c r="BH26" t="str">
        <v>35503081239459331000634000003072562026086438310445</v>
      </c>
    </row>
    <row r="27">
      <c r="A27">
        <v>30725621</v>
      </c>
      <c r="B27" s="1">
        <v>46247</v>
      </c>
      <c r="C27" t="str">
        <v>08/2026</v>
      </c>
      <c r="D27" t="str">
        <v>39459331000634</v>
      </c>
      <c r="E27" t="str">
        <v>CAIXA CARTOES PRE-PAGOS S.A.</v>
      </c>
      <c r="F27" t="str">
        <v>07.199.546/0001-62</v>
      </c>
      <c r="G27" t="str">
        <v>AB ENGENHARIA LTDA</v>
      </c>
      <c r="H27" s="2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>Normal</v>
      </c>
      <c r="BH27" t="str">
        <v>35503081239459331000634000003072562126088869527028</v>
      </c>
    </row>
    <row r="28">
      <c r="A28">
        <v>30725599</v>
      </c>
      <c r="B28" s="1">
        <v>46247</v>
      </c>
      <c r="C28" t="str">
        <v>08/2026</v>
      </c>
      <c r="D28" t="str">
        <v>39459331000634</v>
      </c>
      <c r="E28" t="str">
        <v>CAIXA CARTOES PRE-PAGOS S.A.</v>
      </c>
      <c r="F28" t="str">
        <v>07.199.546/0001-62</v>
      </c>
      <c r="G28" t="str">
        <v>AB ENGENHARIA LTDA</v>
      </c>
      <c r="H28" s="2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>Normal</v>
      </c>
      <c r="BH28" t="str">
        <v>35503081239459331000634000003072559926082697046270</v>
      </c>
    </row>
    <row r="29">
      <c r="A29">
        <v>30725617</v>
      </c>
      <c r="B29" s="1">
        <v>46247</v>
      </c>
      <c r="C29" t="str">
        <v>08/2026</v>
      </c>
      <c r="D29" t="str">
        <v>39459331000634</v>
      </c>
      <c r="E29" t="str">
        <v>CAIXA CARTOES PRE-PAGOS S.A.</v>
      </c>
      <c r="F29" t="str">
        <v>07.199.546/0001-62</v>
      </c>
      <c r="G29" t="str">
        <v>AB ENGENHARIA LTDA</v>
      </c>
      <c r="H29" s="2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>Normal</v>
      </c>
      <c r="BH29" t="str">
        <v>35503081239459331000634000003072561726084089744700</v>
      </c>
    </row>
    <row r="30">
      <c r="A30">
        <v>30725227</v>
      </c>
      <c r="B30" s="1">
        <v>46247</v>
      </c>
      <c r="C30" t="str">
        <v>08/2026</v>
      </c>
      <c r="D30" t="str">
        <v>39459331000634</v>
      </c>
      <c r="E30" t="str">
        <v>CAIXA CARTOES PRE-PAGOS S.A.</v>
      </c>
      <c r="F30" t="str">
        <v>07.199.546/0001-62</v>
      </c>
      <c r="G30" t="str">
        <v>AB ENGENHARIA LTDA</v>
      </c>
      <c r="H30" s="2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>Normal</v>
      </c>
      <c r="BH30" t="str">
        <v>35503081239459331000634000003072522726087355625712</v>
      </c>
    </row>
    <row r="31">
      <c r="A31">
        <v>30724405</v>
      </c>
      <c r="B31" s="1">
        <v>46247</v>
      </c>
      <c r="C31" t="str">
        <v>08/2026</v>
      </c>
      <c r="D31" t="str">
        <v>39459331000634</v>
      </c>
      <c r="E31" t="str">
        <v>CAIXA CARTOES PRE-PAGOS S.A.</v>
      </c>
      <c r="F31" t="str">
        <v>07.199.546/0001-62</v>
      </c>
      <c r="G31" t="str">
        <v>AB ENGENHARIA LTDA</v>
      </c>
      <c r="H31" s="2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>Normal</v>
      </c>
      <c r="BH31" t="str">
        <v>35503081239459331000634000003072440526087161019259</v>
      </c>
    </row>
    <row r="32">
      <c r="A32">
        <v>30724407</v>
      </c>
      <c r="B32" s="1">
        <v>46247</v>
      </c>
      <c r="C32" t="str">
        <v>08/2026</v>
      </c>
      <c r="D32" t="str">
        <v>39459331000634</v>
      </c>
      <c r="E32" t="str">
        <v>CAIXA CARTOES PRE-PAGOS S.A.</v>
      </c>
      <c r="F32" t="str">
        <v>07.199.546/0001-62</v>
      </c>
      <c r="G32" t="str">
        <v>AB ENGENHARIA LTDA</v>
      </c>
      <c r="H32" s="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>Normal</v>
      </c>
      <c r="BH32" t="str">
        <v>35503081239459331000634000003072440726089627838555</v>
      </c>
    </row>
    <row r="33">
      <c r="A33">
        <v>30724412</v>
      </c>
      <c r="B33" s="1">
        <v>46247</v>
      </c>
      <c r="C33" t="str">
        <v>08/2026</v>
      </c>
      <c r="D33" t="str">
        <v>39459331000634</v>
      </c>
      <c r="E33" t="str">
        <v>CAIXA CARTOES PRE-PAGOS S.A.</v>
      </c>
      <c r="F33" t="str">
        <v>07.199.546/0001-62</v>
      </c>
      <c r="G33" t="str">
        <v>AB ENGENHARIA LTDA</v>
      </c>
      <c r="H33" s="2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>Normal</v>
      </c>
      <c r="BH33" t="str">
        <v>35503081239459331000634000003072441226088193361750</v>
      </c>
    </row>
    <row r="34">
      <c r="A34">
        <v>30724413</v>
      </c>
      <c r="B34" s="1">
        <v>46247</v>
      </c>
      <c r="C34" t="str">
        <v>08/2026</v>
      </c>
      <c r="D34" t="str">
        <v>39459331000634</v>
      </c>
      <c r="E34" t="str">
        <v>CAIXA CARTOES PRE-PAGOS S.A.</v>
      </c>
      <c r="F34" t="str">
        <v>07.199.546/0001-62</v>
      </c>
      <c r="G34" t="str">
        <v>AB ENGENHARIA LTDA</v>
      </c>
      <c r="H34" s="2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>Normal</v>
      </c>
      <c r="BH34" t="str">
        <v>35503081239459331000634000003072441326084662195581</v>
      </c>
    </row>
    <row r="35">
      <c r="A35">
        <v>30724385</v>
      </c>
      <c r="B35" s="1">
        <v>46247</v>
      </c>
      <c r="C35" t="str">
        <v>08/2026</v>
      </c>
      <c r="D35" t="str">
        <v>39459331000634</v>
      </c>
      <c r="E35" t="str">
        <v>CAIXA CARTOES PRE-PAGOS S.A.</v>
      </c>
      <c r="F35" t="str">
        <v>07.199.546/0001-62</v>
      </c>
      <c r="G35" t="str">
        <v>AB ENGENHARIA LTDA</v>
      </c>
      <c r="H35" s="2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>Normal</v>
      </c>
      <c r="BH35" t="str">
        <v>35503081239459331000634000003072438526089615151781</v>
      </c>
    </row>
    <row r="36">
      <c r="A36">
        <v>30724261</v>
      </c>
      <c r="B36" s="1">
        <v>46247</v>
      </c>
      <c r="C36" t="str">
        <v>08/2026</v>
      </c>
      <c r="D36" t="str">
        <v>39459331000634</v>
      </c>
      <c r="E36" t="str">
        <v>CAIXA CARTOES PRE-PAGOS S.A.</v>
      </c>
      <c r="F36" t="str">
        <v>07.199.546/0001-62</v>
      </c>
      <c r="G36" t="str">
        <v>AB ENGENHARIA LTDA</v>
      </c>
      <c r="H36" s="2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>Normal</v>
      </c>
      <c r="BH36" t="str">
        <v>35503081239459331000634000003072426126084104655994</v>
      </c>
    </row>
    <row r="37">
      <c r="A37">
        <v>30724264</v>
      </c>
      <c r="B37" s="1">
        <v>46247</v>
      </c>
      <c r="C37" t="str">
        <v>08/2026</v>
      </c>
      <c r="D37" t="str">
        <v>39459331000634</v>
      </c>
      <c r="E37" t="str">
        <v>CAIXA CARTOES PRE-PAGOS S.A.</v>
      </c>
      <c r="F37" t="str">
        <v>07.199.546/0001-62</v>
      </c>
      <c r="G37" t="str">
        <v>AB ENGENHARIA LTDA</v>
      </c>
      <c r="H37" s="2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>Normal</v>
      </c>
      <c r="BH37" t="str">
        <v>35503081239459331000634000003072426426085412458102</v>
      </c>
    </row>
    <row r="38">
      <c r="A38">
        <v>30724148</v>
      </c>
      <c r="B38" s="1">
        <v>46247</v>
      </c>
      <c r="C38" t="str">
        <v>08/2026</v>
      </c>
      <c r="D38" t="str">
        <v>39459331000634</v>
      </c>
      <c r="E38" t="str">
        <v>CAIXA CARTOES PRE-PAGOS S.A.</v>
      </c>
      <c r="F38" t="str">
        <v>07.199.546/0001-62</v>
      </c>
      <c r="G38" t="str">
        <v>AB ENGENHARIA LTDA</v>
      </c>
      <c r="H38" s="2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>Normal</v>
      </c>
      <c r="BH38" t="str">
        <v>35503081239459331000634000003072414826080756804822</v>
      </c>
    </row>
    <row r="39">
      <c r="A39">
        <v>30724260</v>
      </c>
      <c r="B39" s="1">
        <v>46247</v>
      </c>
      <c r="C39" t="str">
        <v>08/2026</v>
      </c>
      <c r="D39" t="str">
        <v>39459331000634</v>
      </c>
      <c r="E39" t="str">
        <v>CAIXA CARTOES PRE-PAGOS S.A.</v>
      </c>
      <c r="F39" t="str">
        <v>07.199.546/0001-62</v>
      </c>
      <c r="G39" t="str">
        <v>AB ENGENHARIA LTDA</v>
      </c>
      <c r="H39" s="2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>Normal</v>
      </c>
      <c r="BH39" t="str">
        <v>35503081239459331000634000003072426026089146699040</v>
      </c>
    </row>
    <row r="40">
      <c r="A40">
        <v>30724134</v>
      </c>
      <c r="B40" s="1">
        <v>46247</v>
      </c>
      <c r="C40" t="str">
        <v>08/2026</v>
      </c>
      <c r="D40" t="str">
        <v>39459331000634</v>
      </c>
      <c r="E40" t="str">
        <v>CAIXA CARTOES PRE-PAGOS S.A.</v>
      </c>
      <c r="F40" t="str">
        <v>07.199.546/0001-62</v>
      </c>
      <c r="G40" t="str">
        <v>AB ENGENHARIA LTDA</v>
      </c>
      <c r="H40" s="2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>Normal</v>
      </c>
      <c r="BH40" t="str">
        <v>35503081239459331000634000003072413426081163171775</v>
      </c>
    </row>
    <row r="41">
      <c r="A41">
        <v>30724136</v>
      </c>
      <c r="B41" s="1">
        <v>46247</v>
      </c>
      <c r="C41" t="str">
        <v>08/2026</v>
      </c>
      <c r="D41" t="str">
        <v>39459331000634</v>
      </c>
      <c r="E41" t="str">
        <v>CAIXA CARTOES PRE-PAGOS S.A.</v>
      </c>
      <c r="F41" t="str">
        <v>07.199.546/0001-62</v>
      </c>
      <c r="G41" t="str">
        <v>AB ENGENHARIA LTDA</v>
      </c>
      <c r="H41" s="2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>Normal</v>
      </c>
      <c r="BH41" t="str">
        <v>35503081239459331000634000003072413626089675391270</v>
      </c>
    </row>
    <row r="42">
      <c r="A42">
        <v>20</v>
      </c>
      <c r="B42" s="1">
        <v>46247</v>
      </c>
      <c r="C42" t="str">
        <v>08/2026</v>
      </c>
      <c r="D42" t="str">
        <v>59665267000140</v>
      </c>
      <c r="E42" t="str">
        <v>59.665.267 LINARDO NAPOLEAO DA SILVEIRA</v>
      </c>
      <c r="F42" t="str">
        <v>07.199.546/0001-62</v>
      </c>
      <c r="G42" t="str">
        <v>AB ENGENHARIA LTDA</v>
      </c>
      <c r="H42" s="2">
        <v>1500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>Normal</v>
      </c>
      <c r="BH42" t="str">
        <v>26111012259665267000140000000000002026085494110530</v>
      </c>
    </row>
    <row r="43">
      <c r="A43">
        <v>17</v>
      </c>
      <c r="B43" s="1">
        <v>46247</v>
      </c>
      <c r="C43" t="str">
        <v>08/2026</v>
      </c>
      <c r="D43" t="str">
        <v>64768800000130</v>
      </c>
      <c r="E43" t="str">
        <v>64.768.800 MIKAELSON LOPES DE OLIVEIRA</v>
      </c>
      <c r="F43" t="str">
        <v>07.199.546/0001-62</v>
      </c>
      <c r="G43" t="str">
        <v>AB ENGENHARIA LTDA</v>
      </c>
      <c r="H43" s="2">
        <v>1200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>Normal</v>
      </c>
      <c r="BH43" t="str">
        <v>26111012264768800000130000000000001726080224258293</v>
      </c>
    </row>
    <row r="44">
      <c r="A44">
        <v>737228</v>
      </c>
      <c r="B44" s="1">
        <v>46246</v>
      </c>
      <c r="C44" t="str">
        <v>08/2026</v>
      </c>
      <c r="D44" t="str">
        <v>09397355000130</v>
      </c>
      <c r="E44" t="str">
        <v>ECUSTOMIZE CONSULTORIA EM SOFTWARE S.A</v>
      </c>
      <c r="F44" t="str">
        <v>07.199.546/0001-62</v>
      </c>
      <c r="G44" t="str">
        <v>AB ENGENHARIA LTDA</v>
      </c>
      <c r="H44" s="2">
        <v>165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>Normal</v>
      </c>
      <c r="BH44" t="str">
        <v>53001081209397355000130000000073722826081786551264</v>
      </c>
    </row>
    <row r="45">
      <c r="A45">
        <v>118987</v>
      </c>
      <c r="B45" s="1">
        <v>46246</v>
      </c>
      <c r="C45" t="str">
        <v>08/2026</v>
      </c>
      <c r="D45" t="str">
        <v>34177449000141</v>
      </c>
      <c r="E45" t="str">
        <v>INDEXMED TECNOLOGIA LTDA</v>
      </c>
      <c r="F45" t="str">
        <v>07.199.546/0001-62</v>
      </c>
      <c r="G45" t="str">
        <v>AB ENGENHARIA LTDA</v>
      </c>
      <c r="H45" s="2">
        <v>199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>Normal</v>
      </c>
      <c r="BH45" t="str">
        <v>35503081234177449000141000000011898726085696620014</v>
      </c>
    </row>
    <row r="46">
      <c r="A46">
        <v>2600000000255</v>
      </c>
      <c r="B46" s="1">
        <v>46246</v>
      </c>
      <c r="C46" t="str">
        <v>08/2026</v>
      </c>
      <c r="D46" t="str">
        <v>24452283000170</v>
      </c>
      <c r="E46" t="str">
        <v>CASA DA PELICULA LTDA</v>
      </c>
      <c r="F46" t="str">
        <v>07.199.546/0001-62</v>
      </c>
      <c r="G46" t="str">
        <v>AB ENGENHARIA LTDA</v>
      </c>
      <c r="H46" s="2">
        <v>2250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>Normal</v>
      </c>
      <c r="BH46" t="str">
        <v>26111011224452283000170260000000025526080028348760</v>
      </c>
    </row>
    <row r="47">
      <c r="A47">
        <v>36725</v>
      </c>
      <c r="B47" s="1">
        <v>46246</v>
      </c>
      <c r="C47" t="str">
        <v>08/2026</v>
      </c>
      <c r="D47" t="str">
        <v>07047220000110</v>
      </c>
      <c r="E47" t="str">
        <v>INOVA 3G SISTEMAS LTDA</v>
      </c>
      <c r="F47" t="str">
        <v>07.199.546/0001-62</v>
      </c>
      <c r="G47" t="str">
        <v>AB ENGENHARIA LTDA</v>
      </c>
      <c r="H47" s="2">
        <v>1762.15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>Normal</v>
      </c>
      <c r="BH47" t="str">
        <v>29274081207047220000110000000003672526084789434309</v>
      </c>
    </row>
    <row r="48">
      <c r="A48">
        <v>2600000001011</v>
      </c>
      <c r="B48" s="1">
        <v>46245</v>
      </c>
      <c r="C48" t="str">
        <v>08/2026</v>
      </c>
      <c r="D48" t="str">
        <v>11820809000186</v>
      </c>
      <c r="E48" t="str">
        <v>PONTAL INDUSTRIA E COMERCIO DE CHAPAS LTDA - ME</v>
      </c>
      <c r="F48" t="str">
        <v>07.199.546/0001-62</v>
      </c>
      <c r="G48" t="str">
        <v>AB ENGENHARIA LTDA</v>
      </c>
      <c r="H48" s="2">
        <v>60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>Normal</v>
      </c>
      <c r="BH48" t="str">
        <v>26111011211820809000186260000000101126080028301404</v>
      </c>
    </row>
    <row r="49">
      <c r="A49">
        <v>30723664</v>
      </c>
      <c r="B49" s="1">
        <v>46245</v>
      </c>
      <c r="C49" t="str">
        <v>08/2026</v>
      </c>
      <c r="D49" t="str">
        <v>39459331000634</v>
      </c>
      <c r="E49" t="str">
        <v>CAIXA CARTOES PRE-PAGOS S.A.</v>
      </c>
      <c r="F49" t="str">
        <v>07.199.546/0001-62</v>
      </c>
      <c r="G49" t="str">
        <v>AB ENGENHARIA LTDA</v>
      </c>
      <c r="H49" s="2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>Normal</v>
      </c>
      <c r="BH49" t="str">
        <v>35503081239459331000634000003072366426086121540632</v>
      </c>
    </row>
    <row r="50">
      <c r="A50">
        <v>30723665</v>
      </c>
      <c r="B50" s="1">
        <v>46245</v>
      </c>
      <c r="C50" t="str">
        <v>08/2026</v>
      </c>
      <c r="D50" t="str">
        <v>39459331000634</v>
      </c>
      <c r="E50" t="str">
        <v>CAIXA CARTOES PRE-PAGOS S.A.</v>
      </c>
      <c r="F50" t="str">
        <v>07.199.546/0001-62</v>
      </c>
      <c r="G50" t="str">
        <v>AB ENGENHARIA LTDA</v>
      </c>
      <c r="H50" s="2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>Normal</v>
      </c>
      <c r="BH50" t="str">
        <v>35503081239459331000634000003072366526081476644616</v>
      </c>
    </row>
    <row r="51">
      <c r="A51">
        <v>30723164</v>
      </c>
      <c r="B51" s="1">
        <v>46245</v>
      </c>
      <c r="C51" t="str">
        <v>08/2026</v>
      </c>
      <c r="D51" t="str">
        <v>39459331000634</v>
      </c>
      <c r="E51" t="str">
        <v>CAIXA CARTOES PRE-PAGOS S.A.</v>
      </c>
      <c r="F51" t="str">
        <v>07.199.546/0001-62</v>
      </c>
      <c r="G51" t="str">
        <v>AB ENGENHARIA LTDA</v>
      </c>
      <c r="H51" s="2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>Normal</v>
      </c>
      <c r="BH51" t="str">
        <v>35503081239459331000634000003072316426080152117695</v>
      </c>
    </row>
    <row r="52">
      <c r="A52">
        <v>30721990</v>
      </c>
      <c r="B52" s="1">
        <v>46245</v>
      </c>
      <c r="C52" t="str">
        <v>08/2026</v>
      </c>
      <c r="D52" t="str">
        <v>39459331000634</v>
      </c>
      <c r="E52" t="str">
        <v>CAIXA CARTOES PRE-PAGOS S.A.</v>
      </c>
      <c r="F52" t="str">
        <v>07.199.546/0001-62</v>
      </c>
      <c r="G52" t="str">
        <v>AB ENGENHARIA LTDA</v>
      </c>
      <c r="H52" s="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>Normal</v>
      </c>
      <c r="BH52" t="str">
        <v>35503081239459331000634000003072199026085570975908</v>
      </c>
    </row>
    <row r="53">
      <c r="A53">
        <v>30721992</v>
      </c>
      <c r="B53" s="1">
        <v>46245</v>
      </c>
      <c r="C53" t="str">
        <v>08/2026</v>
      </c>
      <c r="D53" t="str">
        <v>39459331000634</v>
      </c>
      <c r="E53" t="str">
        <v>CAIXA CARTOES PRE-PAGOS S.A.</v>
      </c>
      <c r="F53" t="str">
        <v>07.199.546/0001-62</v>
      </c>
      <c r="G53" t="str">
        <v>AB ENGENHARIA LTDA</v>
      </c>
      <c r="H53" s="2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>Normal</v>
      </c>
      <c r="BH53" t="str">
        <v>35503081239459331000634000003072199226082827278956</v>
      </c>
    </row>
    <row r="54">
      <c r="A54">
        <v>30720564</v>
      </c>
      <c r="B54" s="1">
        <v>46244</v>
      </c>
      <c r="C54" t="str">
        <v>08/2026</v>
      </c>
      <c r="D54" t="str">
        <v>39459331000634</v>
      </c>
      <c r="E54" t="str">
        <v>CAIXA CARTOES PRE-PAGOS S.A.</v>
      </c>
      <c r="F54" t="str">
        <v>07.199.546/0001-62</v>
      </c>
      <c r="G54" t="str">
        <v>AB ENGENHARIA LTDA</v>
      </c>
      <c r="H54" s="2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>Normal</v>
      </c>
      <c r="BH54" t="str">
        <v>35503081239459331000634000003072056426087798370459</v>
      </c>
    </row>
    <row r="55">
      <c r="A55">
        <v>30720567</v>
      </c>
      <c r="B55" s="1">
        <v>46244</v>
      </c>
      <c r="C55" t="str">
        <v>08/2026</v>
      </c>
      <c r="D55" t="str">
        <v>39459331000634</v>
      </c>
      <c r="E55" t="str">
        <v>CAIXA CARTOES PRE-PAGOS S.A.</v>
      </c>
      <c r="F55" t="str">
        <v>07.199.546/0001-62</v>
      </c>
      <c r="G55" t="str">
        <v>AB ENGENHARIA LTDA</v>
      </c>
      <c r="H55" s="2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>Normal</v>
      </c>
      <c r="BH55" t="str">
        <v>35503081239459331000634000003072056726083240789740</v>
      </c>
    </row>
    <row r="56">
      <c r="A56">
        <v>30720539</v>
      </c>
      <c r="B56" s="1">
        <v>46244</v>
      </c>
      <c r="C56" t="str">
        <v>08/2026</v>
      </c>
      <c r="D56" t="str">
        <v>39459331000634</v>
      </c>
      <c r="E56" t="str">
        <v>CAIXA CARTOES PRE-PAGOS S.A.</v>
      </c>
      <c r="F56" t="str">
        <v>07.199.546/0001-62</v>
      </c>
      <c r="G56" t="str">
        <v>AB ENGENHARIA LTDA</v>
      </c>
      <c r="H56" s="2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>Normal</v>
      </c>
      <c r="BH56" t="str">
        <v>35503081239459331000634000003072053926086965956751</v>
      </c>
    </row>
    <row r="57">
      <c r="A57">
        <v>2600000000558</v>
      </c>
      <c r="B57" s="1">
        <v>46244</v>
      </c>
      <c r="C57" t="str">
        <v>08/2026</v>
      </c>
      <c r="D57" t="str">
        <v>62684703000133</v>
      </c>
      <c r="E57" t="str">
        <v>ESTRELA DIESEL SERVIÇOS LTDA</v>
      </c>
      <c r="F57" t="str">
        <v>07.199.546/0001-62</v>
      </c>
      <c r="G57" t="str">
        <v>AB ENGENHARIA LTDA</v>
      </c>
      <c r="H57" s="2">
        <v>1440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>Normal</v>
      </c>
      <c r="BH57" t="str">
        <v>26111011262684703000133260000000055826080028213148</v>
      </c>
    </row>
    <row r="58">
      <c r="A58">
        <v>2600000000024</v>
      </c>
      <c r="B58" s="1">
        <v>46244</v>
      </c>
      <c r="C58" t="str">
        <v>08/2026</v>
      </c>
      <c r="D58" t="str">
        <v>59894033000175</v>
      </c>
      <c r="E58" t="str">
        <v>EDIVALDO C DE ARAUJO</v>
      </c>
      <c r="F58" t="str">
        <v>07.199.546/0001-62</v>
      </c>
      <c r="G58" t="str">
        <v>AB ENGENHARIA LTDA</v>
      </c>
      <c r="H58" s="2">
        <v>30000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>Normal</v>
      </c>
      <c r="BH58" t="str">
        <v>26111011259894033000175260000000002426080028209166</v>
      </c>
    </row>
    <row r="59">
      <c r="A59">
        <v>2600000038492</v>
      </c>
      <c r="B59" s="1">
        <v>46244</v>
      </c>
      <c r="C59" t="str">
        <v>08/2026</v>
      </c>
      <c r="D59" t="str">
        <v>02751491000138</v>
      </c>
      <c r="E59" t="str">
        <v>ADE MOTOS MOTOPECAS LTDA</v>
      </c>
      <c r="F59" t="str">
        <v>07.199.546/0001-62</v>
      </c>
      <c r="G59" t="str">
        <v>AB ENGENHARIA LTDA</v>
      </c>
      <c r="H59" s="2">
        <v>60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>Normal</v>
      </c>
      <c r="BH59" t="str">
        <v>26111011202751491000138260000003849226080028206868</v>
      </c>
    </row>
    <row r="60">
      <c r="A60">
        <v>2600000013368</v>
      </c>
      <c r="B60" s="1">
        <v>46244</v>
      </c>
      <c r="C60" t="str">
        <v>08/2026</v>
      </c>
      <c r="D60" t="str">
        <v>27884133000124</v>
      </c>
      <c r="E60" t="str">
        <v>LR CENTRO AUTOMOTIVO LTDA EPP</v>
      </c>
      <c r="F60" t="str">
        <v>07.199.546/0001-62</v>
      </c>
      <c r="G60" t="str">
        <v>AB ENGENHARIA LTDA</v>
      </c>
      <c r="H60" s="2">
        <v>1481.75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>Normal</v>
      </c>
      <c r="BH60" t="str">
        <v>26111011227884133000124260000001336826080028128069</v>
      </c>
    </row>
    <row r="61">
      <c r="A61">
        <v>2</v>
      </c>
      <c r="B61" s="1">
        <v>46241</v>
      </c>
      <c r="C61" t="str">
        <v>08/2026</v>
      </c>
      <c r="D61" t="str">
        <v>54916381000182</v>
      </c>
      <c r="E61" t="str">
        <v>54.916.381 EDNALDO DINIZ DE LIMA</v>
      </c>
      <c r="F61" t="str">
        <v>07.199.546/0001-62</v>
      </c>
      <c r="G61" t="str">
        <v>AB ENGENHARIA LTDA</v>
      </c>
      <c r="H61" s="2">
        <v>11000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>Normal</v>
      </c>
      <c r="BH61" t="str">
        <v>29184072254916381000182000000000000226084896627084</v>
      </c>
    </row>
    <row r="62">
      <c r="A62">
        <v>53</v>
      </c>
      <c r="B62" s="1">
        <v>46241</v>
      </c>
      <c r="C62" t="str">
        <v>08/2026</v>
      </c>
      <c r="D62" t="str">
        <v>50046355000190</v>
      </c>
      <c r="E62" t="str">
        <v>50.046.355 JOSE ANTONIO DE ALMEIDA</v>
      </c>
      <c r="F62" t="str">
        <v>07.199.546/0001-62</v>
      </c>
      <c r="G62" t="str">
        <v>AB ENGENHARIA LTDA</v>
      </c>
      <c r="H62" s="2">
        <v>12356.23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>Normal</v>
      </c>
      <c r="BH62" t="str">
        <v>26111012250046355000190000000000005326087924492829</v>
      </c>
    </row>
    <row r="63">
      <c r="A63">
        <v>2600000000012</v>
      </c>
      <c r="B63" s="1">
        <v>46240</v>
      </c>
      <c r="C63" t="str">
        <v>08/2026</v>
      </c>
      <c r="D63" t="str">
        <v>62827734000104</v>
      </c>
      <c r="E63" t="str">
        <v>ALUMIVALLE IND. E SERVICOS DE ESQUADRIAS LTDA</v>
      </c>
      <c r="F63" t="str">
        <v>07.199.546/0001-62</v>
      </c>
      <c r="G63" t="str">
        <v>AB ENGENHARIA LTDA</v>
      </c>
      <c r="H63" s="2">
        <v>10000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>Normal</v>
      </c>
      <c r="BH63" t="str">
        <v>26111011262827734000104260000000001226080027868811</v>
      </c>
    </row>
    <row r="64">
      <c r="A64">
        <v>132936</v>
      </c>
      <c r="B64" s="1">
        <v>46240</v>
      </c>
      <c r="C64" t="str">
        <v>08/2026</v>
      </c>
      <c r="D64" t="str">
        <v>10456692000130</v>
      </c>
      <c r="E64" t="str">
        <v>QUALIDONTO - QUALIDADE EM ODONTOLOGIA LTDA</v>
      </c>
      <c r="F64" t="str">
        <v>07.199.546/0001-62</v>
      </c>
      <c r="G64" t="str">
        <v>AB ENGENHARIA LTDA</v>
      </c>
      <c r="H64" s="2">
        <v>138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>Normal</v>
      </c>
      <c r="BH64" t="str">
        <v>29274081210456692000130000000013293626080691027714</v>
      </c>
    </row>
    <row r="65">
      <c r="A65">
        <v>1006136</v>
      </c>
      <c r="B65" s="1">
        <v>46240</v>
      </c>
      <c r="C65" t="str">
        <v>08/2026</v>
      </c>
      <c r="D65" t="str">
        <v>20211412000188</v>
      </c>
      <c r="E65" t="str">
        <v>PLUXEE FROTA E COMBUSTÍVEL BRASIL LTDA</v>
      </c>
      <c r="F65" t="str">
        <v>07.199.546/0001-62</v>
      </c>
      <c r="G65" t="str">
        <v>AB ENGENHARIA LTDA</v>
      </c>
      <c r="H65" s="2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>Normal</v>
      </c>
      <c r="BH65" t="str">
        <v>35057081220211412000188000000100613626080210160733</v>
      </c>
    </row>
    <row r="66">
      <c r="A66">
        <v>1006134</v>
      </c>
      <c r="B66" s="1">
        <v>46240</v>
      </c>
      <c r="C66" t="str">
        <v>08/2026</v>
      </c>
      <c r="D66" t="str">
        <v>20211412000188</v>
      </c>
      <c r="E66" t="str">
        <v>PLUXEE FROTA E COMBUSTÍVEL BRASIL LTDA</v>
      </c>
      <c r="F66" t="str">
        <v>07.199.546/0001-62</v>
      </c>
      <c r="G66" t="str">
        <v>AB ENGENHARIA LTDA</v>
      </c>
      <c r="H66" s="2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>Normal</v>
      </c>
      <c r="BH66" t="str">
        <v>35057081220211412000188000000100613426080210158200</v>
      </c>
    </row>
    <row r="67">
      <c r="A67">
        <v>1006135</v>
      </c>
      <c r="B67" s="1">
        <v>46240</v>
      </c>
      <c r="C67" t="str">
        <v>08/2026</v>
      </c>
      <c r="D67" t="str">
        <v>20211412000188</v>
      </c>
      <c r="E67" t="str">
        <v>PLUXEE FROTA E COMBUSTÍVEL BRASIL LTDA</v>
      </c>
      <c r="F67" t="str">
        <v>07.199.546/0001-62</v>
      </c>
      <c r="G67" t="str">
        <v>AB ENGENHARIA LTDA</v>
      </c>
      <c r="H67" s="2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>Normal</v>
      </c>
      <c r="BH67" t="str">
        <v>35057081220211412000188000000100613526080210159472</v>
      </c>
    </row>
    <row r="68">
      <c r="A68">
        <v>4547719</v>
      </c>
      <c r="B68" s="1">
        <v>46239</v>
      </c>
      <c r="C68" t="str">
        <v>08/2026</v>
      </c>
      <c r="D68" t="str">
        <v>53113791000122</v>
      </c>
      <c r="E68" t="str">
        <v>TOTVS S.A.</v>
      </c>
      <c r="F68" t="str">
        <v>07.199.546/0001-62</v>
      </c>
      <c r="G68" t="str">
        <v>AB ENGENHARIA LTDA</v>
      </c>
      <c r="H68" s="2">
        <v>6362.11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>Normal</v>
      </c>
      <c r="BH68" t="str">
        <v>35503081253113791000122000000454771926084326947161</v>
      </c>
    </row>
    <row r="69">
      <c r="A69">
        <v>40</v>
      </c>
      <c r="B69" s="1">
        <v>46239</v>
      </c>
      <c r="C69" t="str">
        <v>08/2026</v>
      </c>
      <c r="D69" t="str">
        <v>29881485000151</v>
      </c>
      <c r="E69" t="str">
        <v>JOVINA LUCIA DAMASCENO 65680219468</v>
      </c>
      <c r="F69" t="str">
        <v>07.199.546/0001-62</v>
      </c>
      <c r="G69" t="str">
        <v>AB ENGENHARIA LTDA</v>
      </c>
      <c r="H69" s="2">
        <v>148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>Normal</v>
      </c>
      <c r="BH69" t="str">
        <v>26111012229881485000151000000000004026086388954261</v>
      </c>
    </row>
    <row r="70">
      <c r="A70">
        <v>1</v>
      </c>
      <c r="B70" s="1">
        <v>46239</v>
      </c>
      <c r="C70" t="str">
        <v>08/2026</v>
      </c>
      <c r="D70" t="str">
        <v>68073927000195</v>
      </c>
      <c r="E70" t="str">
        <v>68.073.927 JOYCIMARA COSTA DO NASCIMENTO</v>
      </c>
      <c r="F70" t="str">
        <v>07.199.546/0001-62</v>
      </c>
      <c r="G70" t="str">
        <v>AB ENGENHARIA LTDA</v>
      </c>
      <c r="H70" s="2">
        <v>11000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>Normal</v>
      </c>
      <c r="BH70" t="str">
        <v>26111012268073927000195000000000000126085601493538</v>
      </c>
    </row>
    <row r="71">
      <c r="A71">
        <v>32</v>
      </c>
      <c r="B71" s="1">
        <v>46239</v>
      </c>
      <c r="C71" t="str">
        <v>08/2026</v>
      </c>
      <c r="D71" t="str">
        <v>51985164000156</v>
      </c>
      <c r="E71" t="str">
        <v>51.985.164 SIDCLEI ALVES DIAS</v>
      </c>
      <c r="F71" t="str">
        <v>07.199.546/0001-62</v>
      </c>
      <c r="G71" t="str">
        <v>AB ENGENHARIA LTDA</v>
      </c>
      <c r="H71" s="2">
        <v>1540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>Normal</v>
      </c>
      <c r="BH71" t="str">
        <v>29184072251985164000156000000000003226088213537605</v>
      </c>
    </row>
    <row r="72">
      <c r="A72">
        <v>2600000000075</v>
      </c>
      <c r="B72" s="1">
        <v>46238</v>
      </c>
      <c r="C72" t="str">
        <v>08/2026</v>
      </c>
      <c r="D72" t="str">
        <v>01159178000142</v>
      </c>
      <c r="E72" t="str">
        <v>LOPES E MESQUITA REPRESENTACOES LTDA</v>
      </c>
      <c r="F72" t="str">
        <v>07.199.546/0001-62</v>
      </c>
      <c r="G72" t="str">
        <v>AB ENGENHARIA LTDA</v>
      </c>
      <c r="H72" s="2">
        <v>3200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>Normal</v>
      </c>
      <c r="BH72" t="str">
        <v>26111011201159178000142260000000007526080027061140</v>
      </c>
    </row>
    <row r="73">
      <c r="A73">
        <v>236597</v>
      </c>
      <c r="B73" s="1">
        <v>46238</v>
      </c>
      <c r="C73" t="str">
        <v>08/2026</v>
      </c>
      <c r="D73" t="str">
        <v>03914917000190</v>
      </c>
      <c r="E73" t="str">
        <v>SEGSAT TECNOLOGIA S.A.</v>
      </c>
      <c r="F73" t="str">
        <v>07.199.546/0001-62</v>
      </c>
      <c r="G73" t="str">
        <v>AB ENGENHARIA LTDA</v>
      </c>
      <c r="H73" s="2">
        <v>52.67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>Normal</v>
      </c>
      <c r="BH73" t="str">
        <v>26116062203914917000190000000023659726082778734171</v>
      </c>
    </row>
    <row r="74">
      <c r="A74">
        <v>2600002089637</v>
      </c>
      <c r="B74" s="1">
        <v>46237</v>
      </c>
      <c r="C74" t="str">
        <v>08/2026</v>
      </c>
      <c r="D74" t="str">
        <v>11092705000100</v>
      </c>
      <c r="E74" t="str">
        <v>L E M TELECOMUNICACOES LTDA ME</v>
      </c>
      <c r="F74" t="str">
        <v>07.199.546/0001-62</v>
      </c>
      <c r="G74" t="str">
        <v>AB ENGENHARIA LTDA</v>
      </c>
      <c r="H74" s="2">
        <v>9.99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>Normal</v>
      </c>
      <c r="BH74" t="str">
        <v>26111011211092705000100260000208963726080026852190</v>
      </c>
    </row>
    <row r="75">
      <c r="A75">
        <v>2600000003596</v>
      </c>
      <c r="B75" s="1">
        <v>46237</v>
      </c>
      <c r="C75" t="str">
        <v>08/2026</v>
      </c>
      <c r="D75" t="str">
        <v>10562201000217</v>
      </c>
      <c r="E75" t="str">
        <v>AMPLVS TECNOLOGIA DA INFORMACAO LTDA</v>
      </c>
      <c r="F75" t="str">
        <v>07.199.546/0001-62</v>
      </c>
      <c r="G75" t="str">
        <v>AB ENGENHARIA LTDA</v>
      </c>
      <c r="H75" s="2">
        <v>7855.98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>Normal</v>
      </c>
      <c r="BH75" t="str">
        <v>23042851210562201000217260000000359626080004886654</v>
      </c>
    </row>
    <row r="76">
      <c r="A76">
        <v>2600000002513</v>
      </c>
      <c r="B76" s="1">
        <v>46237</v>
      </c>
      <c r="C76" t="str">
        <v>08/2026</v>
      </c>
      <c r="D76" t="str">
        <v>59438349000152</v>
      </c>
      <c r="E76" t="str">
        <v>CESAR TACÓGRAFOS LTDA</v>
      </c>
      <c r="F76" t="str">
        <v>07.199.546/0001-62</v>
      </c>
      <c r="G76" t="str">
        <v>AB ENGENHARIA LTDA</v>
      </c>
      <c r="H76" s="2">
        <v>400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>Normal</v>
      </c>
      <c r="BH76" t="str">
        <v>26111011259438349000152260000000251326080026843490</v>
      </c>
    </row>
    <row r="77">
      <c r="A77">
        <v>2600002089290</v>
      </c>
      <c r="B77" s="1">
        <v>46237</v>
      </c>
      <c r="C77" t="str">
        <v>08/2026</v>
      </c>
      <c r="D77" t="str">
        <v>11092705000100</v>
      </c>
      <c r="E77" t="str">
        <v>L E M TELECOMUNICACOES LTDA ME</v>
      </c>
      <c r="F77" t="str">
        <v>07.199.546/0001-62</v>
      </c>
      <c r="G77" t="str">
        <v>AB ENGENHARIA LTDA</v>
      </c>
      <c r="H77" s="2">
        <v>9.99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>Normal</v>
      </c>
      <c r="BH77" t="str">
        <v>26111011211092705000100260000208929026080026830611</v>
      </c>
    </row>
    <row r="78">
      <c r="A78">
        <v>2600002089289</v>
      </c>
      <c r="B78" s="1">
        <v>46237</v>
      </c>
      <c r="C78" t="str">
        <v>08/2026</v>
      </c>
      <c r="D78" t="str">
        <v>11092705000100</v>
      </c>
      <c r="E78" t="str">
        <v>L E M TELECOMUNICACOES LTDA ME</v>
      </c>
      <c r="F78" t="str">
        <v>07.199.546/0001-62</v>
      </c>
      <c r="G78" t="str">
        <v>AB ENGENHARIA LTDA</v>
      </c>
      <c r="H78" s="2">
        <v>9.99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>Normal</v>
      </c>
      <c r="BH78" t="str">
        <v>26111011211092705000100260000208928926080026830590</v>
      </c>
    </row>
    <row r="79">
      <c r="A79">
        <v>2600002089288</v>
      </c>
      <c r="B79" s="1">
        <v>46237</v>
      </c>
      <c r="C79" t="str">
        <v>08/2026</v>
      </c>
      <c r="D79" t="str">
        <v>11092705000100</v>
      </c>
      <c r="E79" t="str">
        <v>L E M TELECOMUNICACOES LTDA ME</v>
      </c>
      <c r="F79" t="str">
        <v>07.199.546/0001-62</v>
      </c>
      <c r="G79" t="str">
        <v>AB ENGENHARIA LTDA</v>
      </c>
      <c r="H79" s="2">
        <v>9.99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>Normal</v>
      </c>
      <c r="BH79" t="str">
        <v>26111011211092705000100260000208928826080026830588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TOTAL (78 notas)</v>
      </c>
      <c r="H80" s="2">
        <f>SUBTOTAL(9,H2:H79)</f>
        <v>198227.90999999997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s="2">
        <f>SUBTOTAL(9,P2:P79)</f>
        <v>0</v>
      </c>
      <c r="Q80" s="2">
        <f>SUBTOTAL(9,Q2:Q79)</f>
        <v>0</v>
      </c>
      <c r="R80" t="str">
        <v/>
      </c>
      <c r="S80" s="2">
        <f>SUBTOTAL(9,S2:S79)</f>
        <v>0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s="2">
        <f>SUBTOTAL(9,AA2:AA79)</f>
        <v>0</v>
      </c>
      <c r="AB80" s="2">
        <f>SUBTOTAL(9,AB2:AB79)</f>
        <v>0</v>
      </c>
      <c r="AC80" t="str">
        <v/>
      </c>
      <c r="AD80" t="str">
        <v/>
      </c>
      <c r="AE80" t="str">
        <v/>
      </c>
      <c r="AF80" s="2">
        <f>SUBTOTAL(9,AF2:AF79)</f>
        <v>0</v>
      </c>
      <c r="AG80" t="str">
        <v/>
      </c>
      <c r="AH80" t="str">
        <v/>
      </c>
      <c r="AI80" t="str">
        <v/>
      </c>
      <c r="AJ80" s="2">
        <f>SUBTOTAL(9,AJ2:AJ79)</f>
        <v>0</v>
      </c>
      <c r="AK80" t="str">
        <v/>
      </c>
      <c r="AL80" t="str">
        <v/>
      </c>
      <c r="AM80" t="str">
        <v/>
      </c>
      <c r="AN80" s="2">
        <f>SUBTOTAL(9,AN2:AN79)</f>
        <v>0</v>
      </c>
      <c r="AO80" s="2">
        <f>SUBTOTAL(9,AO2:AO79)</f>
        <v>0</v>
      </c>
      <c r="AP80" t="str">
        <v/>
      </c>
      <c r="AQ80" s="2">
        <f>SUBTOTAL(9,AQ2:AQ79)</f>
        <v>0</v>
      </c>
      <c r="AR80" t="str">
        <v/>
      </c>
      <c r="AS80" s="2">
        <f>SUBTOTAL(9,AS2:AS79)</f>
        <v>0</v>
      </c>
      <c r="AT80" t="str">
        <v/>
      </c>
      <c r="AU80" s="2">
        <f>SUBTOTAL(9,AU2:AU79)</f>
        <v>0</v>
      </c>
      <c r="AV80" t="str">
        <v/>
      </c>
      <c r="AW80" s="2">
        <f>SUBTOTAL(9,AW2:AW79)</f>
        <v>0</v>
      </c>
      <c r="AX80" s="2">
        <f>SUBTOTAL(9,AX2:AX79)</f>
        <v>0</v>
      </c>
      <c r="AY80" s="2">
        <f>SUBTOTAL(9,AY2:AY79)</f>
        <v>0</v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</row>
  </sheetData>
  <autoFilter ref="A1:BH79"/>
  <ignoredErrors>
    <ignoredError numberStoredAsText="1" sqref="A1:BH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20.83203125" customWidth="1"/>
    <col min="3" max="3" width="16.83203125" customWidth="1"/>
  </cols>
  <sheetData>
    <row r="1">
      <c r="A1" t="str">
        <v>Situação</v>
      </c>
      <c r="B1" t="str">
        <v>Qtd</v>
      </c>
      <c r="C1" t="str">
        <v>Valor (R$)</v>
      </c>
    </row>
    <row r="2">
      <c r="A2" t="str">
        <v>Normal</v>
      </c>
      <c r="B2">
        <v>78</v>
      </c>
      <c r="C2" s="2">
        <v>198227.90999999997</v>
      </c>
    </row>
    <row r="3">
      <c r="A3" t="str">
        <v>Cancelada</v>
      </c>
      <c r="B3">
        <v>0</v>
      </c>
      <c r="C3" s="2">
        <v>0</v>
      </c>
    </row>
    <row r="4">
      <c r="A4" t="str">
        <v>Substituída</v>
      </c>
      <c r="B4">
        <v>0</v>
      </c>
      <c r="C4" s="2">
        <v>0</v>
      </c>
    </row>
    <row r="5">
      <c r="A5" t="str">
        <v>Total</v>
      </c>
      <c r="B5">
        <v>78</v>
      </c>
      <c r="C5" s="2">
        <v>198227.90999999997</v>
      </c>
    </row>
    <row r="7">
      <c r="A7" t="str">
        <v>Gerado em:</v>
      </c>
      <c r="B7" t="str">
        <v>18/09/2026, 15:44:06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Relação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